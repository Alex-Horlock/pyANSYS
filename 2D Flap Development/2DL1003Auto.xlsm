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store.soton.ac.uk\users\ah12g11\mydocuments\AUTOMESH\"/>
    </mc:Choice>
  </mc:AlternateContent>
  <bookViews>
    <workbookView xWindow="0" yWindow="0" windowWidth="19200" windowHeight="11595"/>
  </bookViews>
  <sheets>
    <sheet name="Master" sheetId="1" r:id="rId1"/>
    <sheet name="Mesh Calcs" sheetId="2" r:id="rId2"/>
    <sheet name="Process" sheetId="3" r:id="rId3"/>
    <sheet name="Geometry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8" i="2" l="1"/>
  <c r="D9" i="2"/>
  <c r="D7" i="2"/>
  <c r="C8" i="2"/>
  <c r="C9" i="2"/>
  <c r="G3" i="2"/>
  <c r="C7" i="2"/>
</calcChain>
</file>

<file path=xl/sharedStrings.xml><?xml version="1.0" encoding="utf-8"?>
<sst xmlns="http://schemas.openxmlformats.org/spreadsheetml/2006/main" count="200" uniqueCount="113">
  <si>
    <t>BASE Geometry</t>
  </si>
  <si>
    <t>MESH?</t>
  </si>
  <si>
    <t>Geometry?</t>
  </si>
  <si>
    <t>WBJournal used</t>
  </si>
  <si>
    <t>Java Script Used</t>
  </si>
  <si>
    <t>Cab Edge Size</t>
  </si>
  <si>
    <t>Trailer Edge Size</t>
  </si>
  <si>
    <t>Flaps Edge Size</t>
  </si>
  <si>
    <t>CAB No Layers</t>
  </si>
  <si>
    <t>Trailer No Layers</t>
  </si>
  <si>
    <t>Flaps No Layers</t>
  </si>
  <si>
    <t>Inlet Edge Size</t>
  </si>
  <si>
    <t>Outlet Edge Size</t>
  </si>
  <si>
    <t>Based on</t>
  </si>
  <si>
    <t>http://www-mdp.eng.cam.ac.uk/web/library/enginfo/aerothermal_dvd_only/aero/fprops/introvisc/node8.html</t>
  </si>
  <si>
    <t>x</t>
  </si>
  <si>
    <t xml:space="preserve">Delta = x * 5.0 /sqrt(Rex) for laminar </t>
  </si>
  <si>
    <t>Delta = x *0.385 /Rex**0.2</t>
  </si>
  <si>
    <t>Cabin</t>
  </si>
  <si>
    <t>Trailer</t>
  </si>
  <si>
    <t>Flap</t>
  </si>
  <si>
    <t>Delta</t>
  </si>
  <si>
    <t>rho*u/mu</t>
  </si>
  <si>
    <t xml:space="preserve">For Y+ = 100, first layer hieght is </t>
  </si>
  <si>
    <t>No layers (based on 1st layer height)</t>
  </si>
  <si>
    <t>Uploaded to Lyceum</t>
  </si>
  <si>
    <t>NO</t>
  </si>
  <si>
    <t>Instance ('save_name')</t>
  </si>
  <si>
    <t>Downloaded from Lyceum</t>
  </si>
  <si>
    <t>YES</t>
  </si>
  <si>
    <t>Last Uploaded:</t>
  </si>
  <si>
    <t>Last Downloaded:</t>
  </si>
  <si>
    <t>Mesh Parameters</t>
  </si>
  <si>
    <t>Last Updated:</t>
  </si>
  <si>
    <t xml:space="preserve">Check List </t>
  </si>
  <si>
    <t>Ensure All parameter are correct for meshing and geometry</t>
  </si>
  <si>
    <t>Update Geometry and check they are built</t>
  </si>
  <si>
    <t>Check Template WBJN and JAVA are correct</t>
  </si>
  <si>
    <t>Update Wbjn, Java</t>
  </si>
  <si>
    <t xml:space="preserve">Check Template Journal </t>
  </si>
  <si>
    <t>Go to python folder and double-click journal edit</t>
  </si>
  <si>
    <t>Double click Bash Edit - they should all build</t>
  </si>
  <si>
    <t>Now click Update Meshes - This takes a while - get cookies + tea</t>
  </si>
  <si>
    <t>Click Upload Lyceum - wait for all to turn green</t>
  </si>
  <si>
    <t>go to ssh shell</t>
  </si>
  <si>
    <t>type "python startruns.py"</t>
  </si>
  <si>
    <t>enter the BASE you wish to run</t>
  </si>
  <si>
    <t>Wait for Lyceum to Boss that out</t>
  </si>
  <si>
    <t>Go back to spreadsheet and click download</t>
  </si>
  <si>
    <t>First layer Height Trailer</t>
  </si>
  <si>
    <t>First layer Height Cabin</t>
  </si>
  <si>
    <t>First layer Height Flaps</t>
  </si>
  <si>
    <t>L1003</t>
  </si>
  <si>
    <t>L1003Angle (Deg)</t>
  </si>
  <si>
    <t>L1003Angle (Radians)</t>
  </si>
  <si>
    <t>L1003Chord (m)</t>
  </si>
  <si>
    <t>L1003OffCentre (m)</t>
  </si>
  <si>
    <t>L1003RearDist (m)</t>
  </si>
  <si>
    <t>L1003BASE</t>
  </si>
  <si>
    <t>L1003_Deg0</t>
  </si>
  <si>
    <t>L1003_Deg0.wbjn</t>
  </si>
  <si>
    <t>L1003_Deg0.js</t>
  </si>
  <si>
    <t>L1003_Deg2.wbjn</t>
  </si>
  <si>
    <t>L1003_Deg2.js</t>
  </si>
  <si>
    <t>L1003_Deg4.wbjn</t>
  </si>
  <si>
    <t>L1003_Deg4.js</t>
  </si>
  <si>
    <t>L1003_Deg6.wbjn</t>
  </si>
  <si>
    <t>L1003_Deg6.js</t>
  </si>
  <si>
    <t>L1003_Deg8.wbjn</t>
  </si>
  <si>
    <t>L1003_Deg8.js</t>
  </si>
  <si>
    <t>L1003_Deg10</t>
  </si>
  <si>
    <t>L1003_Deg10.wbjn</t>
  </si>
  <si>
    <t>L1003_Deg10.js</t>
  </si>
  <si>
    <t>L1003_Deg12.wbjn</t>
  </si>
  <si>
    <t>L1003_Deg12.js</t>
  </si>
  <si>
    <t>L1003_Deg14.wbjn</t>
  </si>
  <si>
    <t>L1003_Deg14.js</t>
  </si>
  <si>
    <t>L1003_Deg16.wbjn</t>
  </si>
  <si>
    <t>L1003_Deg16.js</t>
  </si>
  <si>
    <t>L1003_Deg18.wbjn</t>
  </si>
  <si>
    <t>L1003_Deg18.js</t>
  </si>
  <si>
    <t>L1003_Deg20</t>
  </si>
  <si>
    <t>L1003_Deg20.wbjn</t>
  </si>
  <si>
    <t>L1003_Deg20.js</t>
  </si>
  <si>
    <t>L1003_Out10_Deg0</t>
  </si>
  <si>
    <t>L1003_Out10_Deg0.wbjn</t>
  </si>
  <si>
    <t>L1003_Out10_Deg0.js</t>
  </si>
  <si>
    <t>L1003_Out10_Deg2.wbjn</t>
  </si>
  <si>
    <t>L1003_Out10_Deg2.js</t>
  </si>
  <si>
    <t>L1003_Out10_Deg4.wbjn</t>
  </si>
  <si>
    <t>L1003_Out10_Deg4.js</t>
  </si>
  <si>
    <t>L1003_Out10_Deg6.wbjn</t>
  </si>
  <si>
    <t>L1003_Out10_Deg6.js</t>
  </si>
  <si>
    <t>L1003_Out10_Deg8.wbjn</t>
  </si>
  <si>
    <t>L1003_Out10_Deg8.js</t>
  </si>
  <si>
    <t>L1003_Out10_Deg10</t>
  </si>
  <si>
    <t>L1003_Out10_Deg10.wbjn</t>
  </si>
  <si>
    <t>L1003_Out10_Deg10.js</t>
  </si>
  <si>
    <t>L1003_Out10_Deg12.wbjn</t>
  </si>
  <si>
    <t>L1003_Out10_Deg12.js</t>
  </si>
  <si>
    <t>L1003_Out10_Deg20</t>
  </si>
  <si>
    <t>L1003_Deg2_5</t>
  </si>
  <si>
    <t>L1003_Deg5</t>
  </si>
  <si>
    <t>L1003_Deg7_5</t>
  </si>
  <si>
    <t>L1003_Deg12_5</t>
  </si>
  <si>
    <t>L1003_Deg15</t>
  </si>
  <si>
    <t>L1003_Deg17_5</t>
  </si>
  <si>
    <t>L1003_Out10_Deg2_5</t>
  </si>
  <si>
    <t>L1003_Out10_Deg5</t>
  </si>
  <si>
    <t>L1003_Out10_Deg7_5</t>
  </si>
  <si>
    <t>L1003_Out10_Deg12_5</t>
  </si>
  <si>
    <t>L1003_Out10_Deg15</t>
  </si>
  <si>
    <t>L1003_Out10_Deg17_5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</si>
</sst>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48"/>
      <color theme="1"/>
      <name val="Calibri"/>
      <family val="2"/>
      <scheme val="minor"/>
    </font>
    <font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Fill="1" applyBorder="1"/>
    <xf numFmtId="2" fontId="0" fillId="0" borderId="1" xfId="0" applyNumberFormat="1" applyBorder="1"/>
    <xf numFmtId="22" fontId="0" fillId="0" borderId="0" xfId="0" applyNumberFormat="1"/>
    <xf numFmtId="0" fontId="4" fillId="0" borderId="0" xfId="0" applyFont="1"/>
    <xf numFmtId="47" fontId="0" fillId="0" borderId="0" xfId="0" applyNumberFormat="1"/>
  </cellXfs>
  <cellStyles count="1">
    <cellStyle name="Normal" xfId="0" builtinId="0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104775</xdr:rowOff>
        </xdr:from>
        <xdr:to>
          <xdr:col>2</xdr:col>
          <xdr:colOff>1409700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Geomtery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114300</xdr:rowOff>
        </xdr:from>
        <xdr:to>
          <xdr:col>3</xdr:col>
          <xdr:colOff>1733550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Meshes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0</xdr:row>
          <xdr:rowOff>142875</xdr:rowOff>
        </xdr:from>
        <xdr:to>
          <xdr:col>5</xdr:col>
          <xdr:colOff>1971675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Upload (Lyceum2)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0</xdr:row>
          <xdr:rowOff>152400</xdr:rowOff>
        </xdr:from>
        <xdr:to>
          <xdr:col>26</xdr:col>
          <xdr:colOff>171450</xdr:colOff>
          <xdr:row>2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Dowload (Lyceum2)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533400</xdr:colOff>
      <xdr:row>28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115800" cy="540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9"/>
  <sheetViews>
    <sheetView tabSelected="1" zoomScale="55" zoomScaleNormal="55" workbookViewId="0"/>
  </sheetViews>
  <sheetFormatPr defaultRowHeight="15" x14ac:dyDescent="0.25"/>
  <cols>
    <col min="1" max="1" width="17.85546875" customWidth="1"/>
    <col min="2" max="2" width="51" bestFit="1" customWidth="1"/>
    <col min="3" max="3" width="21.28515625" customWidth="1"/>
    <col min="4" max="4" width="27.140625" customWidth="1"/>
    <col min="5" max="5" width="21" customWidth="1"/>
    <col min="6" max="6" width="33.42578125" customWidth="1"/>
    <col min="7" max="7" width="20.5703125" customWidth="1"/>
    <col min="8" max="19" width="11.5703125" customWidth="1"/>
    <col min="20" max="20" width="17" bestFit="1" customWidth="1"/>
    <col min="21" max="21" width="27.42578125" customWidth="1"/>
    <col min="22" max="22" width="23.85546875" customWidth="1"/>
    <col min="23" max="23" width="23.42578125" customWidth="1"/>
    <col min="24" max="24" width="27.85546875" customWidth="1"/>
  </cols>
  <sheetData>
    <row r="1" spans="1:24" ht="61.5" x14ac:dyDescent="0.9">
      <c r="A1" s="7" t="s">
        <v>52</v>
      </c>
    </row>
    <row r="2" spans="1:24" ht="49.5" customHeight="1" x14ac:dyDescent="0.9">
      <c r="A2" s="7"/>
      <c r="H2" t="s">
        <v>32</v>
      </c>
      <c r="W2" t="s">
        <v>30</v>
      </c>
      <c r="X2" t="s">
        <v>31</v>
      </c>
    </row>
    <row r="3" spans="1:24" ht="26.25" customHeight="1" x14ac:dyDescent="0.9">
      <c r="A3" s="7"/>
      <c r="B3" s="1"/>
      <c r="C3" s="1"/>
    </row>
    <row r="4" spans="1:24" x14ac:dyDescent="0.25">
      <c r="T4" s="6"/>
      <c r="U4" t="s">
        <v>33</v>
      </c>
      <c r="V4" s="8">
        <v>41977.509393252316</v>
      </c>
    </row>
    <row r="5" spans="1:24" x14ac:dyDescent="0.25">
      <c r="A5" s="3" t="s">
        <v>0</v>
      </c>
      <c r="B5" s="2" t="s">
        <v>27</v>
      </c>
      <c r="C5" s="2" t="s">
        <v>53</v>
      </c>
      <c r="D5" s="2" t="s">
        <v>54</v>
      </c>
      <c r="E5" s="2" t="s">
        <v>55</v>
      </c>
      <c r="F5" s="2" t="s">
        <v>56</v>
      </c>
      <c r="G5" s="2" t="s">
        <v>57</v>
      </c>
      <c r="H5" s="2" t="s">
        <v>2</v>
      </c>
      <c r="I5" s="2" t="s">
        <v>5</v>
      </c>
      <c r="J5" s="2" t="s">
        <v>6</v>
      </c>
      <c r="K5" s="2" t="s">
        <v>7</v>
      </c>
      <c r="L5" s="2" t="s">
        <v>50</v>
      </c>
      <c r="M5" s="2" t="s">
        <v>49</v>
      </c>
      <c r="N5" s="2" t="s">
        <v>51</v>
      </c>
      <c r="O5" s="2" t="s">
        <v>8</v>
      </c>
      <c r="P5" s="2" t="s">
        <v>9</v>
      </c>
      <c r="Q5" s="2" t="s">
        <v>10</v>
      </c>
      <c r="R5" s="2" t="s">
        <v>11</v>
      </c>
      <c r="S5" s="2" t="s">
        <v>12</v>
      </c>
      <c r="T5" s="2" t="s">
        <v>1</v>
      </c>
      <c r="U5" s="4" t="s">
        <v>3</v>
      </c>
      <c r="V5" s="4" t="s">
        <v>4</v>
      </c>
      <c r="W5" s="3" t="s">
        <v>25</v>
      </c>
      <c r="X5" s="3" t="s">
        <v>28</v>
      </c>
    </row>
    <row r="6" spans="1:24" x14ac:dyDescent="0.25">
      <c r="A6" s="3" t="s">
        <v>58</v>
      </c>
      <c r="B6" s="3" t="s">
        <v>59</v>
      </c>
      <c r="C6" s="3">
        <v>90</v>
      </c>
      <c r="D6" s="3">
        <f>C6*PI()/180</f>
        <v>1.5707963267948966</v>
      </c>
      <c r="E6" s="3">
        <v>0.48</v>
      </c>
      <c r="F6" s="3">
        <v>1.33</v>
      </c>
      <c r="G6" s="3">
        <v>13.213333</v>
      </c>
      <c r="H6" s="3" t="s">
        <v>29</v>
      </c>
      <c r="I6" s="3">
        <v>5.0000000000000001E-4</v>
      </c>
      <c r="J6" s="3">
        <v>5.0000000000000001E-4</v>
      </c>
      <c r="K6" s="3">
        <v>5.0000000000000001E-4</v>
      </c>
      <c r="L6" s="3">
        <v>2.2927999999999998E-3</v>
      </c>
      <c r="M6" s="3">
        <v>2.9283999999999998E-3</v>
      </c>
      <c r="N6" s="3">
        <v>2.1909999999999998E-3</v>
      </c>
      <c r="O6" s="3">
        <v>2</v>
      </c>
      <c r="P6" s="3">
        <v>7</v>
      </c>
      <c r="Q6" s="3">
        <v>2</v>
      </c>
      <c r="R6" s="5">
        <v>0.17677699999999999</v>
      </c>
      <c r="S6" s="5">
        <v>0.17677699999999999</v>
      </c>
      <c r="T6" s="3" t="s">
        <v>29</v>
      </c>
      <c r="U6" s="3" t="s">
        <v>60</v>
      </c>
      <c r="V6" s="3" t="s">
        <v>61</v>
      </c>
      <c r="W6" s="3" t="s">
        <v>26</v>
      </c>
      <c r="X6" s="3" t="s">
        <v>26</v>
      </c>
    </row>
    <row r="7" spans="1:24" x14ac:dyDescent="0.25">
      <c r="A7" s="3" t="s">
        <v>58</v>
      </c>
      <c r="B7" s="3" t="s">
        <v>101</v>
      </c>
      <c r="C7" s="3">
        <v>92.5</v>
      </c>
      <c r="D7" s="3">
        <f t="shared" ref="D7:D23" si="0">C7*PI()/180</f>
        <v>1.6144295580947547</v>
      </c>
      <c r="E7" s="3">
        <v>0.48</v>
      </c>
      <c r="F7" s="3">
        <v>1.33</v>
      </c>
      <c r="G7" s="3">
        <v>13.213333</v>
      </c>
      <c r="H7" s="3" t="s">
        <v>29</v>
      </c>
      <c r="I7" s="3">
        <v>5.0000000000000001E-4</v>
      </c>
      <c r="J7" s="3">
        <v>5.0000000000000001E-4</v>
      </c>
      <c r="K7" s="3">
        <v>5.0000000000000001E-4</v>
      </c>
      <c r="L7" s="3">
        <v>2.2927999999999998E-3</v>
      </c>
      <c r="M7" s="3">
        <v>2.9283999999999998E-3</v>
      </c>
      <c r="N7" s="3">
        <v>2.1909999999999998E-3</v>
      </c>
      <c r="O7" s="3">
        <v>2</v>
      </c>
      <c r="P7" s="3">
        <v>7</v>
      </c>
      <c r="Q7" s="3">
        <v>2</v>
      </c>
      <c r="R7" s="5">
        <v>0.17677699999999999</v>
      </c>
      <c r="S7" s="5">
        <v>0.17677699999999999</v>
      </c>
      <c r="T7" s="3" t="s">
        <v>29</v>
      </c>
      <c r="U7" s="3" t="s">
        <v>62</v>
      </c>
      <c r="V7" s="3" t="s">
        <v>63</v>
      </c>
      <c r="W7" s="3" t="s">
        <v>26</v>
      </c>
      <c r="X7" s="3" t="s">
        <v>26</v>
      </c>
    </row>
    <row r="8" spans="1:24" x14ac:dyDescent="0.25">
      <c r="A8" s="3" t="s">
        <v>58</v>
      </c>
      <c r="B8" s="3" t="s">
        <v>102</v>
      </c>
      <c r="C8" s="3">
        <v>95</v>
      </c>
      <c r="D8" s="3">
        <f t="shared" si="0"/>
        <v>1.6580627893946132</v>
      </c>
      <c r="E8" s="3">
        <v>0.48</v>
      </c>
      <c r="F8" s="3">
        <v>1.33</v>
      </c>
      <c r="G8" s="3">
        <v>13.213333</v>
      </c>
      <c r="H8" s="3" t="s">
        <v>29</v>
      </c>
      <c r="I8" s="3">
        <v>5.0000000000000001E-4</v>
      </c>
      <c r="J8" s="3">
        <v>5.0000000000000001E-4</v>
      </c>
      <c r="K8" s="3">
        <v>5.0000000000000001E-4</v>
      </c>
      <c r="L8" s="3">
        <v>2.2927999999999998E-3</v>
      </c>
      <c r="M8" s="3">
        <v>2.9283999999999998E-3</v>
      </c>
      <c r="N8" s="3">
        <v>2.1909999999999998E-3</v>
      </c>
      <c r="O8" s="3">
        <v>2</v>
      </c>
      <c r="P8" s="3">
        <v>7</v>
      </c>
      <c r="Q8" s="3">
        <v>2</v>
      </c>
      <c r="R8" s="5">
        <v>0.17677699999999999</v>
      </c>
      <c r="S8" s="5">
        <v>0.17677699999999999</v>
      </c>
      <c r="T8" s="3" t="s">
        <v>29</v>
      </c>
      <c r="U8" s="3" t="s">
        <v>64</v>
      </c>
      <c r="V8" s="3" t="s">
        <v>65</v>
      </c>
      <c r="W8" s="3" t="s">
        <v>26</v>
      </c>
      <c r="X8" s="3" t="s">
        <v>26</v>
      </c>
    </row>
    <row r="9" spans="1:24" x14ac:dyDescent="0.25">
      <c r="A9" s="3" t="s">
        <v>58</v>
      </c>
      <c r="B9" s="3" t="s">
        <v>103</v>
      </c>
      <c r="C9" s="3">
        <v>97.5</v>
      </c>
      <c r="D9" s="3">
        <f t="shared" si="0"/>
        <v>1.7016960206944711</v>
      </c>
      <c r="E9" s="3">
        <v>0.48</v>
      </c>
      <c r="F9" s="3">
        <v>1.33</v>
      </c>
      <c r="G9" s="3">
        <v>13.213333</v>
      </c>
      <c r="H9" s="3" t="s">
        <v>29</v>
      </c>
      <c r="I9" s="3">
        <v>5.0000000000000001E-4</v>
      </c>
      <c r="J9" s="3">
        <v>5.0000000000000001E-4</v>
      </c>
      <c r="K9" s="3">
        <v>5.0000000000000001E-4</v>
      </c>
      <c r="L9" s="3">
        <v>2.2927999999999998E-3</v>
      </c>
      <c r="M9" s="3">
        <v>2.9283999999999998E-3</v>
      </c>
      <c r="N9" s="3">
        <v>2.1909999999999998E-3</v>
      </c>
      <c r="O9" s="3">
        <v>2</v>
      </c>
      <c r="P9" s="3">
        <v>7</v>
      </c>
      <c r="Q9" s="3">
        <v>2</v>
      </c>
      <c r="R9" s="5">
        <v>0.17677699999999999</v>
      </c>
      <c r="S9" s="5">
        <v>0.17677699999999999</v>
      </c>
      <c r="T9" s="3" t="s">
        <v>29</v>
      </c>
      <c r="U9" s="3" t="s">
        <v>66</v>
      </c>
      <c r="V9" s="3" t="s">
        <v>67</v>
      </c>
      <c r="W9" s="3" t="s">
        <v>26</v>
      </c>
      <c r="X9" s="3" t="s">
        <v>26</v>
      </c>
    </row>
    <row r="10" spans="1:24" x14ac:dyDescent="0.25">
      <c r="A10" s="3" t="s">
        <v>58</v>
      </c>
      <c r="B10" s="3" t="s">
        <v>70</v>
      </c>
      <c r="C10" s="3">
        <v>100</v>
      </c>
      <c r="D10" s="3">
        <f t="shared" si="0"/>
        <v>1.7453292519943295</v>
      </c>
      <c r="E10" s="3">
        <v>0.48</v>
      </c>
      <c r="F10" s="3">
        <v>1.33</v>
      </c>
      <c r="G10" s="3">
        <v>13.213333</v>
      </c>
      <c r="H10" s="3" t="s">
        <v>29</v>
      </c>
      <c r="I10" s="3">
        <v>5.0000000000000001E-4</v>
      </c>
      <c r="J10" s="3">
        <v>5.0000000000000001E-4</v>
      </c>
      <c r="K10" s="3">
        <v>5.0000000000000001E-4</v>
      </c>
      <c r="L10" s="3">
        <v>2.2927999999999998E-3</v>
      </c>
      <c r="M10" s="3">
        <v>2.9283999999999998E-3</v>
      </c>
      <c r="N10" s="3">
        <v>2.1909999999999998E-3</v>
      </c>
      <c r="O10" s="3">
        <v>2</v>
      </c>
      <c r="P10" s="3">
        <v>7</v>
      </c>
      <c r="Q10" s="3">
        <v>2</v>
      </c>
      <c r="R10" s="5">
        <v>0.17677699999999999</v>
      </c>
      <c r="S10" s="5">
        <v>0.17677699999999999</v>
      </c>
      <c r="T10" s="3" t="s">
        <v>29</v>
      </c>
      <c r="U10" s="3" t="s">
        <v>68</v>
      </c>
      <c r="V10" s="3" t="s">
        <v>69</v>
      </c>
      <c r="W10" s="3" t="s">
        <v>26</v>
      </c>
      <c r="X10" s="3" t="s">
        <v>26</v>
      </c>
    </row>
    <row r="11" spans="1:24" x14ac:dyDescent="0.25">
      <c r="A11" s="3" t="s">
        <v>58</v>
      </c>
      <c r="B11" s="3" t="s">
        <v>104</v>
      </c>
      <c r="C11" s="3">
        <v>102.5</v>
      </c>
      <c r="D11" s="3">
        <f t="shared" si="0"/>
        <v>1.7889624832941877</v>
      </c>
      <c r="E11" s="3">
        <v>0.48</v>
      </c>
      <c r="F11" s="3">
        <v>1.33</v>
      </c>
      <c r="G11" s="3">
        <v>13.213333</v>
      </c>
      <c r="H11" s="3" t="s">
        <v>29</v>
      </c>
      <c r="I11" s="3">
        <v>5.0000000000000001E-4</v>
      </c>
      <c r="J11" s="3">
        <v>5.0000000000000001E-4</v>
      </c>
      <c r="K11" s="3">
        <v>5.0000000000000001E-4</v>
      </c>
      <c r="L11" s="3">
        <v>2.2927999999999998E-3</v>
      </c>
      <c r="M11" s="3">
        <v>2.9283999999999998E-3</v>
      </c>
      <c r="N11" s="3">
        <v>2.1909999999999998E-3</v>
      </c>
      <c r="O11" s="3">
        <v>2</v>
      </c>
      <c r="P11" s="3">
        <v>7</v>
      </c>
      <c r="Q11" s="3">
        <v>2</v>
      </c>
      <c r="R11" s="5">
        <v>0.17677699999999999</v>
      </c>
      <c r="S11" s="5">
        <v>0.17677699999999999</v>
      </c>
      <c r="T11" s="3" t="s">
        <v>29</v>
      </c>
      <c r="U11" s="3" t="s">
        <v>71</v>
      </c>
      <c r="V11" s="3" t="s">
        <v>72</v>
      </c>
      <c r="W11" s="3" t="s">
        <v>26</v>
      </c>
      <c r="X11" s="3" t="s">
        <v>26</v>
      </c>
    </row>
    <row r="12" spans="1:24" x14ac:dyDescent="0.25">
      <c r="A12" s="3" t="s">
        <v>58</v>
      </c>
      <c r="B12" s="3" t="s">
        <v>105</v>
      </c>
      <c r="C12" s="3">
        <v>105</v>
      </c>
      <c r="D12" s="3">
        <f t="shared" si="0"/>
        <v>1.8325957145940461</v>
      </c>
      <c r="E12" s="3">
        <v>0.48</v>
      </c>
      <c r="F12" s="3">
        <v>1.33</v>
      </c>
      <c r="G12" s="3">
        <v>13.213333</v>
      </c>
      <c r="H12" s="3" t="s">
        <v>29</v>
      </c>
      <c r="I12" s="3">
        <v>5.0000000000000001E-4</v>
      </c>
      <c r="J12" s="3">
        <v>5.0000000000000001E-4</v>
      </c>
      <c r="K12" s="3">
        <v>5.0000000000000001E-4</v>
      </c>
      <c r="L12" s="3">
        <v>2.2927999999999998E-3</v>
      </c>
      <c r="M12" s="3">
        <v>2.9283999999999998E-3</v>
      </c>
      <c r="N12" s="3">
        <v>2.1909999999999998E-3</v>
      </c>
      <c r="O12" s="3">
        <v>2</v>
      </c>
      <c r="P12" s="3">
        <v>7</v>
      </c>
      <c r="Q12" s="3">
        <v>2</v>
      </c>
      <c r="R12" s="5">
        <v>0.17677699999999999</v>
      </c>
      <c r="S12" s="5">
        <v>0.17677699999999999</v>
      </c>
      <c r="T12" s="3" t="s">
        <v>29</v>
      </c>
      <c r="U12" s="3" t="s">
        <v>73</v>
      </c>
      <c r="V12" s="3" t="s">
        <v>74</v>
      </c>
      <c r="W12" s="3" t="s">
        <v>26</v>
      </c>
      <c r="X12" s="3" t="s">
        <v>26</v>
      </c>
    </row>
    <row r="13" spans="1:24" x14ac:dyDescent="0.25">
      <c r="A13" s="3" t="s">
        <v>58</v>
      </c>
      <c r="B13" s="3" t="s">
        <v>106</v>
      </c>
      <c r="C13" s="3">
        <v>107.5</v>
      </c>
      <c r="D13" s="3">
        <f t="shared" si="0"/>
        <v>1.8762289458939041</v>
      </c>
      <c r="E13" s="3">
        <v>0.48</v>
      </c>
      <c r="F13" s="3">
        <v>1.33</v>
      </c>
      <c r="G13" s="3">
        <v>13.213333</v>
      </c>
      <c r="H13" s="3" t="s">
        <v>29</v>
      </c>
      <c r="I13" s="3">
        <v>5.0000000000000001E-4</v>
      </c>
      <c r="J13" s="3">
        <v>5.0000000000000001E-4</v>
      </c>
      <c r="K13" s="3">
        <v>5.0000000000000001E-4</v>
      </c>
      <c r="L13" s="3">
        <v>2.2927999999999998E-3</v>
      </c>
      <c r="M13" s="3">
        <v>2.9283999999999998E-3</v>
      </c>
      <c r="N13" s="3">
        <v>2.1909999999999998E-3</v>
      </c>
      <c r="O13" s="3">
        <v>2</v>
      </c>
      <c r="P13" s="3">
        <v>7</v>
      </c>
      <c r="Q13" s="3">
        <v>2</v>
      </c>
      <c r="R13" s="5">
        <v>0.17677699999999999</v>
      </c>
      <c r="S13" s="5">
        <v>0.17677699999999999</v>
      </c>
      <c r="T13" s="3" t="s">
        <v>29</v>
      </c>
      <c r="U13" s="3" t="s">
        <v>75</v>
      </c>
      <c r="V13" s="3" t="s">
        <v>76</v>
      </c>
      <c r="W13" s="3" t="s">
        <v>26</v>
      </c>
      <c r="X13" s="3" t="s">
        <v>26</v>
      </c>
    </row>
    <row r="14" spans="1:24" x14ac:dyDescent="0.25">
      <c r="A14" s="3" t="s">
        <v>58</v>
      </c>
      <c r="B14" s="3" t="s">
        <v>81</v>
      </c>
      <c r="C14" s="3">
        <v>110</v>
      </c>
      <c r="D14" s="3">
        <f t="shared" si="0"/>
        <v>1.9198621771937625</v>
      </c>
      <c r="E14" s="3">
        <v>0.48</v>
      </c>
      <c r="F14" s="3">
        <v>1.33</v>
      </c>
      <c r="G14" s="3">
        <v>13.213333</v>
      </c>
      <c r="H14" s="3" t="s">
        <v>29</v>
      </c>
      <c r="I14" s="3">
        <v>5.0000000000000001E-4</v>
      </c>
      <c r="J14" s="3">
        <v>5.0000000000000001E-4</v>
      </c>
      <c r="K14" s="3">
        <v>5.0000000000000001E-4</v>
      </c>
      <c r="L14" s="3">
        <v>2.2927999999999998E-3</v>
      </c>
      <c r="M14" s="3">
        <v>2.9283999999999998E-3</v>
      </c>
      <c r="N14" s="3">
        <v>2.1909999999999998E-3</v>
      </c>
      <c r="O14" s="3">
        <v>2</v>
      </c>
      <c r="P14" s="3">
        <v>7</v>
      </c>
      <c r="Q14" s="3">
        <v>2</v>
      </c>
      <c r="R14" s="5">
        <v>0.17677699999999999</v>
      </c>
      <c r="S14" s="5">
        <v>0.17677699999999999</v>
      </c>
      <c r="T14" s="3" t="s">
        <v>29</v>
      </c>
      <c r="U14" s="3" t="s">
        <v>77</v>
      </c>
      <c r="V14" s="3" t="s">
        <v>78</v>
      </c>
      <c r="W14" s="3" t="s">
        <v>26</v>
      </c>
      <c r="X14" s="3" t="s">
        <v>26</v>
      </c>
    </row>
    <row r="15" spans="1:24" x14ac:dyDescent="0.25">
      <c r="A15" s="3" t="s">
        <v>58</v>
      </c>
      <c r="B15" s="3" t="s">
        <v>84</v>
      </c>
      <c r="C15" s="3">
        <v>90</v>
      </c>
      <c r="D15" s="3">
        <f t="shared" si="0"/>
        <v>1.5707963267948966</v>
      </c>
      <c r="E15" s="3">
        <v>0.48</v>
      </c>
      <c r="F15" s="3">
        <v>1.43</v>
      </c>
      <c r="G15" s="3">
        <v>13.213333</v>
      </c>
      <c r="H15" s="3" t="s">
        <v>29</v>
      </c>
      <c r="I15" s="3">
        <v>5.0000000000000001E-4</v>
      </c>
      <c r="J15" s="3">
        <v>5.0000000000000001E-4</v>
      </c>
      <c r="K15" s="3">
        <v>5.0000000000000001E-4</v>
      </c>
      <c r="L15" s="3">
        <v>2.2927999999999998E-3</v>
      </c>
      <c r="M15" s="3">
        <v>2.9283999999999998E-3</v>
      </c>
      <c r="N15" s="3">
        <v>2.1909999999999998E-3</v>
      </c>
      <c r="O15" s="3">
        <v>2</v>
      </c>
      <c r="P15" s="3">
        <v>7</v>
      </c>
      <c r="Q15" s="3">
        <v>2</v>
      </c>
      <c r="R15" s="5">
        <v>0.17677699999999999</v>
      </c>
      <c r="S15" s="5">
        <v>0.17677699999999999</v>
      </c>
      <c r="T15" s="3" t="s">
        <v>29</v>
      </c>
      <c r="U15" s="3" t="s">
        <v>79</v>
      </c>
      <c r="V15" s="3" t="s">
        <v>80</v>
      </c>
      <c r="W15" s="3" t="s">
        <v>26</v>
      </c>
      <c r="X15" s="3" t="s">
        <v>26</v>
      </c>
    </row>
    <row r="16" spans="1:24" x14ac:dyDescent="0.25">
      <c r="A16" s="3" t="s">
        <v>58</v>
      </c>
      <c r="B16" s="3" t="s">
        <v>107</v>
      </c>
      <c r="C16" s="3">
        <v>92.5</v>
      </c>
      <c r="D16" s="3">
        <f t="shared" si="0"/>
        <v>1.6144295580947547</v>
      </c>
      <c r="E16" s="3">
        <v>0.48</v>
      </c>
      <c r="F16" s="3">
        <v>1.43</v>
      </c>
      <c r="G16" s="3">
        <v>13.213333</v>
      </c>
      <c r="H16" s="3" t="s">
        <v>29</v>
      </c>
      <c r="I16" s="3">
        <v>5.0000000000000001E-4</v>
      </c>
      <c r="J16" s="3">
        <v>5.0000000000000001E-4</v>
      </c>
      <c r="K16" s="3">
        <v>5.0000000000000001E-4</v>
      </c>
      <c r="L16" s="3">
        <v>2.2927999999999998E-3</v>
      </c>
      <c r="M16" s="3">
        <v>2.9283999999999998E-3</v>
      </c>
      <c r="N16" s="3">
        <v>2.1909999999999998E-3</v>
      </c>
      <c r="O16" s="3">
        <v>2</v>
      </c>
      <c r="P16" s="3">
        <v>7</v>
      </c>
      <c r="Q16" s="3">
        <v>2</v>
      </c>
      <c r="R16" s="5">
        <v>0.17677699999999999</v>
      </c>
      <c r="S16" s="5">
        <v>0.17677699999999999</v>
      </c>
      <c r="T16" s="3" t="s">
        <v>29</v>
      </c>
      <c r="U16" s="3" t="s">
        <v>82</v>
      </c>
      <c r="V16" s="3" t="s">
        <v>83</v>
      </c>
      <c r="W16" s="3" t="s">
        <v>26</v>
      </c>
      <c r="X16" s="3" t="s">
        <v>26</v>
      </c>
    </row>
    <row r="17" spans="1:24" x14ac:dyDescent="0.25">
      <c r="A17" s="3" t="s">
        <v>58</v>
      </c>
      <c r="B17" s="3" t="s">
        <v>108</v>
      </c>
      <c r="C17" s="3">
        <v>95</v>
      </c>
      <c r="D17" s="3">
        <f t="shared" si="0"/>
        <v>1.6580627893946132</v>
      </c>
      <c r="E17" s="3">
        <v>0.48</v>
      </c>
      <c r="F17" s="3">
        <v>1.43</v>
      </c>
      <c r="G17" s="3">
        <v>13.213333</v>
      </c>
      <c r="H17" s="3" t="s">
        <v>29</v>
      </c>
      <c r="I17" s="3">
        <v>5.0000000000000001E-4</v>
      </c>
      <c r="J17" s="3">
        <v>5.0000000000000001E-4</v>
      </c>
      <c r="K17" s="3">
        <v>5.0000000000000001E-4</v>
      </c>
      <c r="L17" s="3">
        <v>2.2927999999999998E-3</v>
      </c>
      <c r="M17" s="3">
        <v>2.9283999999999998E-3</v>
      </c>
      <c r="N17" s="3">
        <v>2.1909999999999998E-3</v>
      </c>
      <c r="O17" s="3">
        <v>2</v>
      </c>
      <c r="P17" s="3">
        <v>7</v>
      </c>
      <c r="Q17" s="3">
        <v>2</v>
      </c>
      <c r="R17" s="5">
        <v>0.17677699999999999</v>
      </c>
      <c r="S17" s="5">
        <v>0.17677699999999999</v>
      </c>
      <c r="T17" s="3" t="s">
        <v>29</v>
      </c>
      <c r="U17" s="3" t="s">
        <v>85</v>
      </c>
      <c r="V17" s="3" t="s">
        <v>86</v>
      </c>
      <c r="W17" s="3" t="s">
        <v>26</v>
      </c>
      <c r="X17" s="3" t="s">
        <v>26</v>
      </c>
    </row>
    <row r="18" spans="1:24" x14ac:dyDescent="0.25">
      <c r="A18" s="3" t="s">
        <v>58</v>
      </c>
      <c r="B18" s="3" t="s">
        <v>109</v>
      </c>
      <c r="C18" s="3">
        <v>97.5</v>
      </c>
      <c r="D18" s="3">
        <f t="shared" si="0"/>
        <v>1.7016960206944711</v>
      </c>
      <c r="E18" s="3">
        <v>0.48</v>
      </c>
      <c r="F18" s="3">
        <v>1.43</v>
      </c>
      <c r="G18" s="3">
        <v>13.213333</v>
      </c>
      <c r="H18" s="3" t="s">
        <v>29</v>
      </c>
      <c r="I18" s="3">
        <v>5.0000000000000001E-4</v>
      </c>
      <c r="J18" s="3">
        <v>5.0000000000000001E-4</v>
      </c>
      <c r="K18" s="3">
        <v>5.0000000000000001E-4</v>
      </c>
      <c r="L18" s="3">
        <v>2.2927999999999998E-3</v>
      </c>
      <c r="M18" s="3">
        <v>2.9283999999999998E-3</v>
      </c>
      <c r="N18" s="3">
        <v>2.1909999999999998E-3</v>
      </c>
      <c r="O18" s="3">
        <v>2</v>
      </c>
      <c r="P18" s="3">
        <v>7</v>
      </c>
      <c r="Q18" s="3">
        <v>2</v>
      </c>
      <c r="R18" s="5">
        <v>0.17677699999999999</v>
      </c>
      <c r="S18" s="5">
        <v>0.17677699999999999</v>
      </c>
      <c r="T18" s="3" t="s">
        <v>29</v>
      </c>
      <c r="U18" s="3" t="s">
        <v>87</v>
      </c>
      <c r="V18" s="3" t="s">
        <v>88</v>
      </c>
      <c r="W18" s="3" t="s">
        <v>26</v>
      </c>
      <c r="X18" s="3" t="s">
        <v>26</v>
      </c>
    </row>
    <row r="19" spans="1:24" x14ac:dyDescent="0.25">
      <c r="A19" s="3" t="s">
        <v>58</v>
      </c>
      <c r="B19" s="3" t="s">
        <v>95</v>
      </c>
      <c r="C19" s="3">
        <v>100</v>
      </c>
      <c r="D19" s="3">
        <f t="shared" si="0"/>
        <v>1.7453292519943295</v>
      </c>
      <c r="E19" s="3">
        <v>0.48</v>
      </c>
      <c r="F19" s="3">
        <v>1.43</v>
      </c>
      <c r="G19" s="3">
        <v>13.213333</v>
      </c>
      <c r="H19" s="3" t="s">
        <v>29</v>
      </c>
      <c r="I19" s="3">
        <v>5.0000000000000001E-4</v>
      </c>
      <c r="J19" s="3">
        <v>5.0000000000000001E-4</v>
      </c>
      <c r="K19" s="3">
        <v>5.0000000000000001E-4</v>
      </c>
      <c r="L19" s="3">
        <v>2.2927999999999998E-3</v>
      </c>
      <c r="M19" s="3">
        <v>2.9283999999999998E-3</v>
      </c>
      <c r="N19" s="3">
        <v>2.1909999999999998E-3</v>
      </c>
      <c r="O19" s="3">
        <v>2</v>
      </c>
      <c r="P19" s="3">
        <v>7</v>
      </c>
      <c r="Q19" s="3">
        <v>2</v>
      </c>
      <c r="R19" s="5">
        <v>0.17677699999999999</v>
      </c>
      <c r="S19" s="5">
        <v>0.17677699999999999</v>
      </c>
      <c r="T19" s="3" t="s">
        <v>29</v>
      </c>
      <c r="U19" s="3" t="s">
        <v>89</v>
      </c>
      <c r="V19" s="3" t="s">
        <v>90</v>
      </c>
      <c r="W19" s="3" t="s">
        <v>26</v>
      </c>
      <c r="X19" s="3" t="s">
        <v>26</v>
      </c>
    </row>
    <row r="20" spans="1:24" x14ac:dyDescent="0.25">
      <c r="A20" s="3" t="s">
        <v>58</v>
      </c>
      <c r="B20" s="3" t="s">
        <v>110</v>
      </c>
      <c r="C20" s="3">
        <v>102.5</v>
      </c>
      <c r="D20" s="3">
        <f t="shared" si="0"/>
        <v>1.7889624832941877</v>
      </c>
      <c r="E20" s="3">
        <v>0.48</v>
      </c>
      <c r="F20" s="3">
        <v>1.43</v>
      </c>
      <c r="G20" s="3">
        <v>13.213333</v>
      </c>
      <c r="H20" s="3" t="s">
        <v>29</v>
      </c>
      <c r="I20" s="3">
        <v>5.0000000000000001E-4</v>
      </c>
      <c r="J20" s="3">
        <v>5.0000000000000001E-4</v>
      </c>
      <c r="K20" s="3">
        <v>5.0000000000000001E-4</v>
      </c>
      <c r="L20" s="3">
        <v>2.2927999999999998E-3</v>
      </c>
      <c r="M20" s="3">
        <v>2.9283999999999998E-3</v>
      </c>
      <c r="N20" s="3">
        <v>2.1909999999999998E-3</v>
      </c>
      <c r="O20" s="3">
        <v>2</v>
      </c>
      <c r="P20" s="3">
        <v>7</v>
      </c>
      <c r="Q20" s="3">
        <v>2</v>
      </c>
      <c r="R20" s="5">
        <v>0.17677699999999999</v>
      </c>
      <c r="S20" s="5">
        <v>0.17677699999999999</v>
      </c>
      <c r="T20" s="3" t="s">
        <v>29</v>
      </c>
      <c r="U20" s="3" t="s">
        <v>91</v>
      </c>
      <c r="V20" s="3" t="s">
        <v>92</v>
      </c>
      <c r="W20" s="3" t="s">
        <v>26</v>
      </c>
      <c r="X20" s="3" t="s">
        <v>26</v>
      </c>
    </row>
    <row r="21" spans="1:24" x14ac:dyDescent="0.25">
      <c r="A21" s="3" t="s">
        <v>58</v>
      </c>
      <c r="B21" s="3" t="s">
        <v>111</v>
      </c>
      <c r="C21" s="3">
        <v>105</v>
      </c>
      <c r="D21" s="3">
        <f t="shared" si="0"/>
        <v>1.8325957145940461</v>
      </c>
      <c r="E21" s="3">
        <v>0.48</v>
      </c>
      <c r="F21" s="3">
        <v>1.43</v>
      </c>
      <c r="G21" s="3">
        <v>13.213333</v>
      </c>
      <c r="H21" s="3" t="s">
        <v>29</v>
      </c>
      <c r="I21" s="3">
        <v>5.0000000000000001E-4</v>
      </c>
      <c r="J21" s="3">
        <v>5.0000000000000001E-4</v>
      </c>
      <c r="K21" s="3">
        <v>5.0000000000000001E-4</v>
      </c>
      <c r="L21" s="3">
        <v>2.2927999999999998E-3</v>
      </c>
      <c r="M21" s="3">
        <v>2.9283999999999998E-3</v>
      </c>
      <c r="N21" s="3">
        <v>2.1909999999999998E-3</v>
      </c>
      <c r="O21" s="3">
        <v>2</v>
      </c>
      <c r="P21" s="3">
        <v>7</v>
      </c>
      <c r="Q21" s="3">
        <v>2</v>
      </c>
      <c r="R21" s="5">
        <v>0.17677699999999999</v>
      </c>
      <c r="S21" s="5">
        <v>0.17677699999999999</v>
      </c>
      <c r="T21" s="3" t="s">
        <v>29</v>
      </c>
      <c r="U21" s="3" t="s">
        <v>93</v>
      </c>
      <c r="V21" s="3" t="s">
        <v>94</v>
      </c>
      <c r="W21" s="3" t="s">
        <v>26</v>
      </c>
      <c r="X21" s="3" t="s">
        <v>26</v>
      </c>
    </row>
    <row r="22" spans="1:24" x14ac:dyDescent="0.25">
      <c r="A22" s="3" t="s">
        <v>58</v>
      </c>
      <c r="B22" s="3" t="s">
        <v>112</v>
      </c>
      <c r="C22" s="3">
        <v>107.5</v>
      </c>
      <c r="D22" s="3">
        <f t="shared" si="0"/>
        <v>1.8762289458939041</v>
      </c>
      <c r="E22" s="3">
        <v>0.48</v>
      </c>
      <c r="F22" s="3">
        <v>1.43</v>
      </c>
      <c r="G22" s="3">
        <v>13.213333</v>
      </c>
      <c r="H22" s="3" t="s">
        <v>29</v>
      </c>
      <c r="I22" s="3">
        <v>5.0000000000000001E-4</v>
      </c>
      <c r="J22" s="3">
        <v>5.0000000000000001E-4</v>
      </c>
      <c r="K22" s="3">
        <v>5.0000000000000001E-4</v>
      </c>
      <c r="L22" s="3">
        <v>2.2927999999999998E-3</v>
      </c>
      <c r="M22" s="3">
        <v>2.9283999999999998E-3</v>
      </c>
      <c r="N22" s="3">
        <v>2.1909999999999998E-3</v>
      </c>
      <c r="O22" s="3">
        <v>2</v>
      </c>
      <c r="P22" s="3">
        <v>7</v>
      </c>
      <c r="Q22" s="3">
        <v>2</v>
      </c>
      <c r="R22" s="5">
        <v>0.17677699999999999</v>
      </c>
      <c r="S22" s="5">
        <v>0.17677699999999999</v>
      </c>
      <c r="T22" s="3" t="s">
        <v>29</v>
      </c>
      <c r="U22" s="3" t="s">
        <v>96</v>
      </c>
      <c r="V22" s="3" t="s">
        <v>97</v>
      </c>
      <c r="W22" s="3" t="s">
        <v>26</v>
      </c>
      <c r="X22" s="3" t="s">
        <v>26</v>
      </c>
    </row>
    <row r="23" spans="1:24" x14ac:dyDescent="0.25">
      <c r="A23" s="3" t="s">
        <v>58</v>
      </c>
      <c r="B23" s="3" t="s">
        <v>100</v>
      </c>
      <c r="C23" s="3">
        <v>110</v>
      </c>
      <c r="D23" s="3">
        <f t="shared" si="0"/>
        <v>1.9198621771937625</v>
      </c>
      <c r="E23" s="3">
        <v>0.48</v>
      </c>
      <c r="F23" s="3">
        <v>1.43</v>
      </c>
      <c r="G23" s="3">
        <v>13.213333</v>
      </c>
      <c r="H23" s="3" t="s">
        <v>29</v>
      </c>
      <c r="I23" s="3">
        <v>5.0000000000000001E-4</v>
      </c>
      <c r="J23" s="3">
        <v>5.0000000000000001E-4</v>
      </c>
      <c r="K23" s="3">
        <v>5.0000000000000001E-4</v>
      </c>
      <c r="L23" s="3">
        <v>2.2927999999999998E-3</v>
      </c>
      <c r="M23" s="3">
        <v>2.9283999999999998E-3</v>
      </c>
      <c r="N23" s="3">
        <v>2.1909999999999998E-3</v>
      </c>
      <c r="O23" s="3">
        <v>2</v>
      </c>
      <c r="P23" s="3">
        <v>7</v>
      </c>
      <c r="Q23" s="3">
        <v>2</v>
      </c>
      <c r="R23" s="5">
        <v>0.17677699999999999</v>
      </c>
      <c r="S23" s="5">
        <v>0.17677699999999999</v>
      </c>
      <c r="T23" s="3" t="s">
        <v>29</v>
      </c>
      <c r="U23" s="3" t="s">
        <v>98</v>
      </c>
      <c r="V23" s="3" t="s">
        <v>99</v>
      </c>
      <c r="W23" s="3" t="s">
        <v>26</v>
      </c>
      <c r="X23" s="3" t="s">
        <v>26</v>
      </c>
    </row>
    <row r="24" spans="1:2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5"/>
      <c r="S24" s="5"/>
      <c r="T24" s="3"/>
      <c r="U24" s="3"/>
      <c r="V24" s="3"/>
      <c r="W24" s="3"/>
      <c r="X24" s="3"/>
    </row>
    <row r="25" spans="1:2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5"/>
      <c r="S25" s="5"/>
      <c r="T25" s="3"/>
      <c r="U25" s="3"/>
      <c r="V25" s="3"/>
      <c r="W25" s="3"/>
      <c r="X25" s="3"/>
    </row>
    <row r="26" spans="1:2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5"/>
      <c r="S26" s="5"/>
      <c r="T26" s="3"/>
      <c r="U26" s="3"/>
      <c r="V26" s="3"/>
      <c r="W26" s="3"/>
      <c r="X26" s="3"/>
    </row>
    <row r="27" spans="1:2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5"/>
      <c r="S27" s="5"/>
      <c r="T27" s="3"/>
      <c r="U27" s="3"/>
      <c r="V27" s="3"/>
      <c r="W27" s="3"/>
      <c r="X27" s="3"/>
    </row>
    <row r="28" spans="1:2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5"/>
      <c r="S28" s="5"/>
      <c r="T28" s="3"/>
      <c r="U28" s="3"/>
      <c r="V28" s="3"/>
      <c r="W28" s="3"/>
      <c r="X28" s="3"/>
    </row>
    <row r="29" spans="1:2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5"/>
      <c r="S29" s="5"/>
      <c r="T29" s="3"/>
      <c r="U29" s="3"/>
      <c r="V29" s="3"/>
      <c r="W29" s="3"/>
      <c r="X29" s="3"/>
    </row>
    <row r="30" spans="1:2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5"/>
      <c r="S30" s="5"/>
      <c r="T30" s="3"/>
      <c r="U30" s="3"/>
      <c r="V30" s="3"/>
      <c r="W30" s="3"/>
      <c r="X30" s="3"/>
    </row>
    <row r="31" spans="1:2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5"/>
      <c r="S31" s="5"/>
      <c r="T31" s="3"/>
      <c r="U31" s="3"/>
      <c r="V31" s="3"/>
      <c r="W31" s="3"/>
      <c r="X31" s="3"/>
    </row>
    <row r="32" spans="1:2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5"/>
      <c r="S32" s="5"/>
      <c r="T32" s="3"/>
      <c r="U32" s="3"/>
      <c r="V32" s="3"/>
      <c r="W32" s="3"/>
      <c r="X32" s="3"/>
    </row>
    <row r="33" spans="1:2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5"/>
      <c r="S33" s="5"/>
      <c r="T33" s="3"/>
      <c r="U33" s="3"/>
      <c r="V33" s="3"/>
      <c r="W33" s="3"/>
      <c r="X33" s="3"/>
    </row>
    <row r="34" spans="1:2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5"/>
      <c r="S34" s="5"/>
      <c r="T34" s="3"/>
      <c r="U34" s="3"/>
      <c r="V34" s="3"/>
      <c r="W34" s="3"/>
      <c r="X34" s="3"/>
    </row>
    <row r="35" spans="1:2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5"/>
      <c r="S35" s="5"/>
      <c r="T35" s="3"/>
      <c r="U35" s="3"/>
      <c r="V35" s="3"/>
      <c r="W35" s="3"/>
      <c r="X35" s="3"/>
    </row>
    <row r="36" spans="1:2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5"/>
      <c r="S36" s="5"/>
      <c r="T36" s="3"/>
      <c r="U36" s="3"/>
      <c r="V36" s="3"/>
      <c r="W36" s="3"/>
      <c r="X36" s="3"/>
    </row>
    <row r="37" spans="1:2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5"/>
      <c r="S37" s="5"/>
      <c r="T37" s="3"/>
      <c r="U37" s="3"/>
      <c r="V37" s="3"/>
      <c r="W37" s="3"/>
      <c r="X37" s="3"/>
    </row>
    <row r="38" spans="1:2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5"/>
      <c r="S38" s="5"/>
      <c r="T38" s="3"/>
      <c r="U38" s="3"/>
      <c r="V38" s="3"/>
      <c r="W38" s="3"/>
      <c r="X38" s="3"/>
    </row>
    <row r="39" spans="1:2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5"/>
      <c r="S39" s="5"/>
      <c r="T39" s="3"/>
      <c r="U39" s="3"/>
      <c r="V39" s="3"/>
      <c r="W39" s="3"/>
      <c r="X39" s="3"/>
    </row>
    <row r="40" spans="1:2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5"/>
      <c r="S40" s="5"/>
      <c r="T40" s="3"/>
      <c r="U40" s="3"/>
      <c r="V40" s="3"/>
      <c r="W40" s="3"/>
      <c r="X40" s="3"/>
    </row>
    <row r="41" spans="1:2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5"/>
      <c r="S41" s="5"/>
      <c r="T41" s="3"/>
      <c r="U41" s="3"/>
      <c r="V41" s="3"/>
      <c r="W41" s="3"/>
      <c r="X41" s="3"/>
    </row>
    <row r="42" spans="1:2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5"/>
      <c r="S42" s="5"/>
      <c r="T42" s="3"/>
      <c r="U42" s="3"/>
      <c r="V42" s="3"/>
      <c r="W42" s="3"/>
      <c r="X42" s="3"/>
    </row>
    <row r="43" spans="1:2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5"/>
      <c r="S43" s="5"/>
      <c r="T43" s="3"/>
      <c r="U43" s="3"/>
      <c r="V43" s="3"/>
      <c r="W43" s="3"/>
      <c r="X43" s="3"/>
    </row>
    <row r="44" spans="1:2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</sheetData>
  <conditionalFormatting sqref="R6:S23 H24:H44 H24:S43">
    <cfRule type="cellIs" dxfId="10" priority="16" operator="equal">
      <formula>"Yes"</formula>
    </cfRule>
  </conditionalFormatting>
  <conditionalFormatting sqref="I3:S3 H1:S2 H4:S5 R6:S23 H24:S1048576 W1:W1048576">
    <cfRule type="cellIs" dxfId="9" priority="14" operator="equal">
      <formula>"NO"</formula>
    </cfRule>
    <cfRule type="cellIs" dxfId="8" priority="15" operator="equal">
      <formula>"YES"</formula>
    </cfRule>
  </conditionalFormatting>
  <conditionalFormatting sqref="T1:T1048576 X6:X43">
    <cfRule type="cellIs" dxfId="7" priority="12" operator="equal">
      <formula>"YES"</formula>
    </cfRule>
    <cfRule type="cellIs" dxfId="6" priority="13" operator="equal">
      <formula>"NO"</formula>
    </cfRule>
  </conditionalFormatting>
  <conditionalFormatting sqref="X5">
    <cfRule type="cellIs" dxfId="5" priority="10" operator="equal">
      <formula>"NO"</formula>
    </cfRule>
    <cfRule type="cellIs" dxfId="4" priority="11" operator="equal">
      <formula>"YES"</formula>
    </cfRule>
  </conditionalFormatting>
  <conditionalFormatting sqref="U1:U2 V1:V1048576 U4:U1048576">
    <cfRule type="cellIs" dxfId="3" priority="6" operator="equal">
      <formula>"NONE"</formula>
    </cfRule>
  </conditionalFormatting>
  <conditionalFormatting sqref="H6:Q23">
    <cfRule type="cellIs" dxfId="2" priority="3" operator="equal">
      <formula>"Yes"</formula>
    </cfRule>
  </conditionalFormatting>
  <conditionalFormatting sqref="H6:Q23">
    <cfRule type="cellIs" dxfId="1" priority="1" operator="equal">
      <formula>"NO"</formula>
    </cfRule>
    <cfRule type="cellIs" dxfId="0" priority="2" operator="equal">
      <formula>"YES"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Geoms">
                <anchor moveWithCells="1" sizeWithCells="1"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1409700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Mesh">
                <anchor moveWithCells="1" sizeWithCells="1">
                  <from>
                    <xdr:col>3</xdr:col>
                    <xdr:colOff>123825</xdr:colOff>
                    <xdr:row>0</xdr:row>
                    <xdr:rowOff>114300</xdr:rowOff>
                  </from>
                  <to>
                    <xdr:col>3</xdr:col>
                    <xdr:colOff>1733550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yceumUpload">
                <anchor moveWithCells="1" sizeWithCells="1">
                  <from>
                    <xdr:col>5</xdr:col>
                    <xdr:colOff>171450</xdr:colOff>
                    <xdr:row>0</xdr:row>
                    <xdr:rowOff>142875</xdr:rowOff>
                  </from>
                  <to>
                    <xdr:col>5</xdr:col>
                    <xdr:colOff>1971675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ownload">
                <anchor moveWithCells="1" sizeWithCells="1">
                  <from>
                    <xdr:col>24</xdr:col>
                    <xdr:colOff>38100</xdr:colOff>
                    <xdr:row>0</xdr:row>
                    <xdr:rowOff>152400</xdr:rowOff>
                  </from>
                  <to>
                    <xdr:col>26</xdr:col>
                    <xdr:colOff>171450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workbookViewId="0">
      <selection activeCell="E11" sqref="E11"/>
    </sheetView>
  </sheetViews>
  <sheetFormatPr defaultRowHeight="15" x14ac:dyDescent="0.25"/>
  <cols>
    <col min="3" max="3" width="11.85546875" customWidth="1"/>
    <col min="6" max="6" width="11.5703125" customWidth="1"/>
  </cols>
  <sheetData>
    <row r="1" spans="1:7" x14ac:dyDescent="0.25">
      <c r="A1" t="s">
        <v>13</v>
      </c>
      <c r="B1" t="s">
        <v>14</v>
      </c>
    </row>
    <row r="3" spans="1:7" x14ac:dyDescent="0.25">
      <c r="A3" t="s">
        <v>16</v>
      </c>
      <c r="F3" t="s">
        <v>22</v>
      </c>
      <c r="G3">
        <f>1.19*26.8/(0.0000182)</f>
        <v>1752307.6923076925</v>
      </c>
    </row>
    <row r="4" spans="1:7" x14ac:dyDescent="0.25">
      <c r="A4" t="s">
        <v>17</v>
      </c>
    </row>
    <row r="6" spans="1:7" x14ac:dyDescent="0.25">
      <c r="B6" t="s">
        <v>15</v>
      </c>
      <c r="C6" t="s">
        <v>21</v>
      </c>
      <c r="D6" t="s">
        <v>24</v>
      </c>
    </row>
    <row r="7" spans="1:7" x14ac:dyDescent="0.25">
      <c r="A7" t="s">
        <v>18</v>
      </c>
      <c r="B7">
        <v>0.39</v>
      </c>
      <c r="C7">
        <f>B7*0.385/(($G$3*B7)^0.2)</f>
        <v>1.0223282024991606E-2</v>
      </c>
      <c r="D7">
        <f>LOG(C7/$D$14)/LOG(1.2)</f>
        <v>10.471895179641464</v>
      </c>
    </row>
    <row r="8" spans="1:7" x14ac:dyDescent="0.25">
      <c r="A8" t="s">
        <v>19</v>
      </c>
      <c r="B8">
        <v>1.98</v>
      </c>
      <c r="C8">
        <f t="shared" ref="C8:C9" si="0">B8*0.385/(($G$3*B8)^0.2)</f>
        <v>3.7503414356886561E-2</v>
      </c>
      <c r="D8">
        <f t="shared" ref="D8:D9" si="1">LOG(C8/$D$14)/LOG(1.2)</f>
        <v>17.600861882798799</v>
      </c>
    </row>
    <row r="9" spans="1:7" x14ac:dyDescent="0.25">
      <c r="A9" t="s">
        <v>20</v>
      </c>
      <c r="B9">
        <v>7.4999999999999997E-2</v>
      </c>
      <c r="C9">
        <f t="shared" si="0"/>
        <v>2.7339317381351652E-3</v>
      </c>
      <c r="D9">
        <f t="shared" si="1"/>
        <v>3.2378252009584059</v>
      </c>
    </row>
    <row r="14" spans="1:7" x14ac:dyDescent="0.25">
      <c r="A14" t="s">
        <v>23</v>
      </c>
      <c r="D14">
        <v>1.5150000000000001E-3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6"/>
  <sheetViews>
    <sheetView workbookViewId="0">
      <selection activeCell="C34" sqref="C34"/>
    </sheetView>
  </sheetViews>
  <sheetFormatPr defaultRowHeight="15" x14ac:dyDescent="0.25"/>
  <sheetData>
    <row r="1" spans="1:1" x14ac:dyDescent="0.25">
      <c r="A1" t="s">
        <v>34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37</v>
      </c>
    </row>
    <row r="6" spans="1:1" x14ac:dyDescent="0.25">
      <c r="A6" t="s">
        <v>38</v>
      </c>
    </row>
    <row r="7" spans="1:1" x14ac:dyDescent="0.25">
      <c r="A7" t="s">
        <v>39</v>
      </c>
    </row>
    <row r="8" spans="1:1" x14ac:dyDescent="0.25">
      <c r="A8" t="s">
        <v>40</v>
      </c>
    </row>
    <row r="9" spans="1:1" x14ac:dyDescent="0.25">
      <c r="A9" t="s">
        <v>41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45</v>
      </c>
    </row>
    <row r="14" spans="1:1" x14ac:dyDescent="0.25">
      <c r="A14" t="s">
        <v>46</v>
      </c>
    </row>
    <row r="15" spans="1:1" x14ac:dyDescent="0.25">
      <c r="A15" t="s">
        <v>47</v>
      </c>
    </row>
    <row r="16" spans="1:1" x14ac:dyDescent="0.25">
      <c r="A16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Mesh Calcs</vt:lpstr>
      <vt:lpstr>Process</vt:lpstr>
      <vt:lpstr>Geometry</vt:lpstr>
    </vt:vector>
  </TitlesOfParts>
  <Company>University of Southampton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horlock a. (ah12g11)</dc:creator>
  <cp:lastModifiedBy>horlock a. (ah12g11)</cp:lastModifiedBy>
  <dcterms:created xsi:type="dcterms:W3CDTF">2014-11-01T20:21:34Z</dcterms:created>
  <dcterms:modified xsi:type="dcterms:W3CDTF">2015-02-13T19:46:08Z</dcterms:modified>
</cp:coreProperties>
</file>